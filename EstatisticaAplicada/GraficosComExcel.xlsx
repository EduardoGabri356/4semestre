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Usuario\OneDrive\Área de Trabalho\Faculdade\4semestre\EstatisticaAplicada\"/>
    </mc:Choice>
  </mc:AlternateContent>
  <bookViews>
    <workbookView xWindow="0" yWindow="0" windowWidth="23040" windowHeight="9264"/>
  </bookViews>
  <sheets>
    <sheet name="Plan2" sheetId="2" r:id="rId1"/>
    <sheet name="Plan1" sheetId="1" r:id="rId2"/>
  </sheets>
  <calcPr calcId="152511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<sst xmlns="http://schemas.openxmlformats.org/spreadsheetml/2006/main" count="132" uniqueCount="32">
  <si>
    <t>Razões</t>
  </si>
  <si>
    <t>fa</t>
  </si>
  <si>
    <t>Atraso na entrega</t>
  </si>
  <si>
    <t>Atraso da transportadora</t>
  </si>
  <si>
    <t>Produto danificado</t>
  </si>
  <si>
    <t>Faturamento incorreto</t>
  </si>
  <si>
    <t>Separação errada</t>
  </si>
  <si>
    <t>Pedido errado</t>
  </si>
  <si>
    <t>Preço errado</t>
  </si>
  <si>
    <t>Outros</t>
  </si>
  <si>
    <t>cliente</t>
  </si>
  <si>
    <t xml:space="preserve">Sexo </t>
  </si>
  <si>
    <t>Escolaridade</t>
  </si>
  <si>
    <t>Estado civil</t>
  </si>
  <si>
    <t xml:space="preserve">Idade </t>
  </si>
  <si>
    <t xml:space="preserve">Renda Anual </t>
  </si>
  <si>
    <t>Número de compras feitas nos últimos 12 meses</t>
  </si>
  <si>
    <t>Feminino</t>
  </si>
  <si>
    <t>superior</t>
  </si>
  <si>
    <t>casado</t>
  </si>
  <si>
    <t>pos</t>
  </si>
  <si>
    <t>e. fundamental</t>
  </si>
  <si>
    <t>solteiro</t>
  </si>
  <si>
    <t>Masculino</t>
  </si>
  <si>
    <t>e. médio</t>
  </si>
  <si>
    <t>viúvo</t>
  </si>
  <si>
    <t>divorciado</t>
  </si>
  <si>
    <t>e.fundamental</t>
  </si>
  <si>
    <t>Rótulos de Linha</t>
  </si>
  <si>
    <t>Total Geral</t>
  </si>
  <si>
    <t>Rótulos de Coluna</t>
  </si>
  <si>
    <t>Contagem de Estado civil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</si>
</sst>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8"/>
      <color rgb="FF000000"/>
      <name val="Perpetua"/>
      <family val="1"/>
    </font>
    <font>
      <sz val="11"/>
      <color rgb="FF000000"/>
      <name val="Aptos Narrow"/>
      <family val="2"/>
    </font>
    <font>
      <sz val="18"/>
      <color rgb="FF000000"/>
      <name val="Perpetua"/>
      <family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readingOrder="1"/>
    </xf>
    <xf numFmtId="0" fontId="2" fillId="0" borderId="0" xfId="0" applyFont="1"/>
    <xf numFmtId="0" fontId="3" fillId="0" borderId="1" xfId="0" applyFont="1" applyBorder="1" applyAlignment="1">
      <alignment horizontal="left" wrapText="1" readingOrder="1"/>
    </xf>
    <xf numFmtId="0" fontId="3" fillId="0" borderId="0" xfId="0" applyFont="1" applyAlignment="1">
      <alignment horizontal="left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numFmt numFmtId="14" formatCode="0.00%"/>
    </dxf>
    <dxf>
      <alignment horizontal="center" readingOrder="0"/>
    </dxf>
    <dxf>
      <alignment vertic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0758748906386702E-2"/>
          <c:y val="0.1686298076923077"/>
          <c:w val="0.87111592300962382"/>
          <c:h val="0.50893303301029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Plan1!$B$1</c:f>
              <c:strCache>
                <c:ptCount val="1"/>
                <c:pt idx="0">
                  <c:v>fa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Plan1!$A$2:$A$9</c:f>
              <c:strCache>
                <c:ptCount val="8"/>
                <c:pt idx="0">
                  <c:v>Atraso na entrega</c:v>
                </c:pt>
                <c:pt idx="1">
                  <c:v>Atraso da transportadora</c:v>
                </c:pt>
                <c:pt idx="2">
                  <c:v>Produto danificado</c:v>
                </c:pt>
                <c:pt idx="3">
                  <c:v>Faturamento incorreto</c:v>
                </c:pt>
                <c:pt idx="4">
                  <c:v>Separação errada</c:v>
                </c:pt>
                <c:pt idx="5">
                  <c:v>Pedido errado</c:v>
                </c:pt>
                <c:pt idx="6">
                  <c:v>Preço errado</c:v>
                </c:pt>
                <c:pt idx="7">
                  <c:v>Outros</c:v>
                </c:pt>
              </c:strCache>
            </c:strRef>
          </c:cat>
          <c:val>
            <c:numRef>
              <c:f>Plan1!$B$2:$B$9</c:f>
              <c:numCache>
                <c:formatCode>General</c:formatCode>
                <c:ptCount val="8"/>
                <c:pt idx="0">
                  <c:v>140</c:v>
                </c:pt>
                <c:pt idx="1">
                  <c:v>125</c:v>
                </c:pt>
                <c:pt idx="2">
                  <c:v>65</c:v>
                </c:pt>
                <c:pt idx="3">
                  <c:v>60</c:v>
                </c:pt>
                <c:pt idx="4">
                  <c:v>45</c:v>
                </c:pt>
                <c:pt idx="5">
                  <c:v>30</c:v>
                </c:pt>
                <c:pt idx="6">
                  <c:v>20</c:v>
                </c:pt>
                <c:pt idx="7">
                  <c:v>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0189272"/>
        <c:axId val="325865152"/>
      </c:barChart>
      <c:catAx>
        <c:axId val="430189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5865152"/>
        <c:crosses val="autoZero"/>
        <c:auto val="1"/>
        <c:lblAlgn val="ctr"/>
        <c:lblOffset val="100"/>
        <c:noMultiLvlLbl val="0"/>
      </c:catAx>
      <c:valAx>
        <c:axId val="32586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0189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0</xdr:row>
      <xdr:rowOff>0</xdr:rowOff>
    </xdr:from>
    <xdr:to>
      <xdr:col>10</xdr:col>
      <xdr:colOff>381000</xdr:colOff>
      <xdr:row>9</xdr:row>
      <xdr:rowOff>22860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uario" refreshedDate="46288.505119444446" createdVersion="5" refreshedVersion="5" minRefreshableVersion="3" recordCount="23">
  <cacheSource type="worksheet">
    <worksheetSource ref="A12:G35" sheet="Plan1"/>
  </cacheSource>
  <cacheFields count="7">
    <cacheField name="cliente" numFmtId="0">
      <sharedItems containsSemiMixedTypes="0" containsString="0" containsNumber="1" containsInteger="1" minValue="1" maxValue="23"/>
    </cacheField>
    <cacheField name="Sexo " numFmtId="0">
      <sharedItems count="2">
        <s v="Feminino"/>
        <s v="Masculino"/>
      </sharedItems>
    </cacheField>
    <cacheField name="Escolaridade" numFmtId="0">
      <sharedItems/>
    </cacheField>
    <cacheField name="Estado civil" numFmtId="0">
      <sharedItems count="4">
        <s v="casado"/>
        <s v="solteiro"/>
        <s v="viúvo"/>
        <s v="divorciado"/>
      </sharedItems>
    </cacheField>
    <cacheField name="Idade " numFmtId="0">
      <sharedItems containsSemiMixedTypes="0" containsString="0" containsNumber="1" containsInteger="1" minValue="22" maxValue="75"/>
    </cacheField>
    <cacheField name="Renda Anual " numFmtId="0">
      <sharedItems containsSemiMixedTypes="0" containsString="0" containsNumber="1" minValue="10" maxValue="54.8"/>
    </cacheField>
    <cacheField name="Número de compras feitas nos últimos 12 meses" numFmtId="0">
      <sharedItems containsSemiMixedTypes="0" containsString="0" containsNumber="1" containsInteger="1" minValue="6" maxValue="1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">
  <r>
    <n v="1"/>
    <x v="0"/>
    <s v="superior"/>
    <x v="0"/>
    <n v="55"/>
    <n v="16.8"/>
    <n v="20"/>
  </r>
  <r>
    <n v="2"/>
    <x v="0"/>
    <s v="pos"/>
    <x v="0"/>
    <n v="25"/>
    <n v="14.6"/>
    <n v="42"/>
  </r>
  <r>
    <n v="3"/>
    <x v="0"/>
    <s v="e. fundamental"/>
    <x v="1"/>
    <n v="28"/>
    <n v="18.399999999999999"/>
    <n v="28"/>
  </r>
  <r>
    <n v="4"/>
    <x v="1"/>
    <s v="e. médio"/>
    <x v="2"/>
    <n v="47"/>
    <n v="21.2"/>
    <n v="38"/>
  </r>
  <r>
    <n v="5"/>
    <x v="1"/>
    <s v="pos"/>
    <x v="0"/>
    <n v="35"/>
    <n v="33.1"/>
    <n v="57"/>
  </r>
  <r>
    <n v="6"/>
    <x v="0"/>
    <s v="superior"/>
    <x v="2"/>
    <n v="27"/>
    <n v="24"/>
    <n v="16"/>
  </r>
  <r>
    <n v="7"/>
    <x v="0"/>
    <s v="superior"/>
    <x v="0"/>
    <n v="43"/>
    <n v="29.3"/>
    <n v="82"/>
  </r>
  <r>
    <n v="8"/>
    <x v="1"/>
    <s v="superior"/>
    <x v="1"/>
    <n v="73"/>
    <n v="23.1"/>
    <n v="68"/>
  </r>
  <r>
    <n v="9"/>
    <x v="1"/>
    <s v="pos"/>
    <x v="1"/>
    <n v="50"/>
    <n v="29.1"/>
    <n v="74"/>
  </r>
  <r>
    <n v="10"/>
    <x v="0"/>
    <s v="pos"/>
    <x v="1"/>
    <n v="22"/>
    <n v="10"/>
    <n v="6"/>
  </r>
  <r>
    <n v="11"/>
    <x v="0"/>
    <s v="e. fundamental"/>
    <x v="0"/>
    <n v="25"/>
    <n v="13.8"/>
    <n v="42"/>
  </r>
  <r>
    <n v="12"/>
    <x v="1"/>
    <s v="pos"/>
    <x v="0"/>
    <n v="55"/>
    <n v="54.8"/>
    <n v="124"/>
  </r>
  <r>
    <n v="13"/>
    <x v="0"/>
    <s v="superior"/>
    <x v="2"/>
    <n v="35"/>
    <n v="22.6"/>
    <n v="48"/>
  </r>
  <r>
    <n v="14"/>
    <x v="1"/>
    <s v="e. médio"/>
    <x v="3"/>
    <n v="75"/>
    <n v="27.1"/>
    <n v="73"/>
  </r>
  <r>
    <n v="15"/>
    <x v="0"/>
    <s v="e. médio"/>
    <x v="3"/>
    <n v="38"/>
    <n v="25.4"/>
    <n v="64"/>
  </r>
  <r>
    <n v="16"/>
    <x v="0"/>
    <s v="superior"/>
    <x v="1"/>
    <n v="53"/>
    <n v="15.1"/>
    <n v="53"/>
  </r>
  <r>
    <n v="17"/>
    <x v="1"/>
    <s v="superior"/>
    <x v="3"/>
    <n v="37"/>
    <n v="26.1"/>
    <n v="62"/>
  </r>
  <r>
    <n v="18"/>
    <x v="0"/>
    <s v="pos"/>
    <x v="1"/>
    <n v="28"/>
    <n v="32.1"/>
    <n v="63"/>
  </r>
  <r>
    <n v="19"/>
    <x v="1"/>
    <s v="superior"/>
    <x v="0"/>
    <n v="43"/>
    <n v="44"/>
    <n v="30"/>
  </r>
  <r>
    <n v="20"/>
    <x v="0"/>
    <s v="e.fundamental"/>
    <x v="1"/>
    <n v="25"/>
    <n v="32.1"/>
    <n v="40"/>
  </r>
  <r>
    <n v="21"/>
    <x v="0"/>
    <s v="pos"/>
    <x v="0"/>
    <n v="43"/>
    <n v="36"/>
    <n v="15"/>
  </r>
  <r>
    <n v="22"/>
    <x v="1"/>
    <s v="e. médio"/>
    <x v="0"/>
    <n v="43"/>
    <n v="25"/>
    <n v="25"/>
  </r>
  <r>
    <n v="23"/>
    <x v="0"/>
    <s v="e. médio"/>
    <x v="1"/>
    <n v="31"/>
    <n v="33"/>
    <n v="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3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9:F13" firstHeaderRow="1" firstDataRow="2" firstDataCol="1"/>
  <pivotFields count="7">
    <pivotField showAll="0"/>
    <pivotField axis="axisRow" showAll="0">
      <items count="3">
        <item x="0"/>
        <item x="1"/>
        <item t="default"/>
      </items>
    </pivotField>
    <pivotField showAll="0"/>
    <pivotField axis="axisCol" dataField="1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ntagem de Estado civil" fld="3" subtotal="count" showDataAs="percentOfTota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3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F7" firstHeaderRow="1" firstDataRow="2" firstDataCol="1"/>
  <pivotFields count="7">
    <pivotField showAll="0"/>
    <pivotField axis="axisRow" showAll="0">
      <items count="3">
        <item x="0"/>
        <item x="1"/>
        <item t="default"/>
      </items>
    </pivotField>
    <pivotField showAll="0"/>
    <pivotField axis="axisCol" dataField="1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ntagem de Estado civil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4" cacheId="3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I29:N33" firstHeaderRow="1" firstDataRow="2" firstDataCol="1"/>
  <pivotFields count="7">
    <pivotField showAll="0"/>
    <pivotField axis="axisRow" showAll="0">
      <items count="3">
        <item x="0"/>
        <item x="1"/>
        <item t="default"/>
      </items>
    </pivotField>
    <pivotField showAll="0"/>
    <pivotField axis="axisCol" dataField="1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ntagem de Estado civil" fld="3" subtotal="count" showDataAs="percentOfTotal" baseField="1" baseItem="0" numFmtId="10"/>
  </dataFields>
  <formats count="2">
    <format dxfId="2">
      <pivotArea outline="0" collapsedLevelsAreSubtotals="1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3" cacheId="3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I21:N25" firstHeaderRow="1" firstDataRow="2" firstDataCol="1"/>
  <pivotFields count="7">
    <pivotField showAll="0"/>
    <pivotField axis="axisRow" showAll="0">
      <items count="3">
        <item x="0"/>
        <item x="1"/>
        <item t="default"/>
      </items>
    </pivotField>
    <pivotField showAll="0"/>
    <pivotField axis="axisCol" dataField="1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ntagem de Estado civil" fld="3" subtotal="count" showDataAs="percentOfCol" baseField="1" baseItem="0" numFmtId="10"/>
  </dataFields>
  <formats count="2">
    <format dxfId="3">
      <pivotArea outline="0" collapsedLevelsAreSubtotals="1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activeCell="I2" sqref="I2:I24"/>
    </sheetView>
  </sheetViews>
  <sheetFormatPr defaultRowHeight="14.4"/>
  <cols>
    <col min="1" max="1" width="22.33203125" customWidth="1"/>
    <col min="2" max="2" width="18.5546875" bestFit="1" customWidth="1"/>
    <col min="3" max="3" width="9.88671875" customWidth="1"/>
    <col min="4" max="4" width="7.21875" customWidth="1"/>
    <col min="5" max="5" width="7" customWidth="1"/>
    <col min="6" max="6" width="10" bestFit="1" customWidth="1"/>
  </cols>
  <sheetData>
    <row r="1" spans="1:9" ht="31.2">
      <c r="I1" s="7" t="s">
        <v>15</v>
      </c>
    </row>
    <row r="2" spans="1:9" ht="15.6">
      <c r="I2" s="8">
        <v>16.8</v>
      </c>
    </row>
    <row r="3" spans="1:9" ht="15.6">
      <c r="A3" s="9" t="s">
        <v>31</v>
      </c>
      <c r="B3" s="9" t="s">
        <v>30</v>
      </c>
      <c r="I3" s="8">
        <v>14.6</v>
      </c>
    </row>
    <row r="4" spans="1:9" ht="15.6">
      <c r="A4" s="9" t="s">
        <v>28</v>
      </c>
      <c r="B4" t="s">
        <v>19</v>
      </c>
      <c r="C4" t="s">
        <v>26</v>
      </c>
      <c r="D4" t="s">
        <v>22</v>
      </c>
      <c r="E4" t="s">
        <v>25</v>
      </c>
      <c r="F4" t="s">
        <v>29</v>
      </c>
      <c r="I4" s="8">
        <v>18.399999999999999</v>
      </c>
    </row>
    <row r="5" spans="1:9" ht="15.6">
      <c r="A5" s="10" t="s">
        <v>17</v>
      </c>
      <c r="B5" s="11">
        <v>5</v>
      </c>
      <c r="C5" s="11">
        <v>1</v>
      </c>
      <c r="D5" s="11">
        <v>6</v>
      </c>
      <c r="E5" s="11">
        <v>2</v>
      </c>
      <c r="F5" s="11">
        <v>14</v>
      </c>
      <c r="I5" s="8">
        <v>21.2</v>
      </c>
    </row>
    <row r="6" spans="1:9" ht="15.6">
      <c r="A6" s="10" t="s">
        <v>23</v>
      </c>
      <c r="B6" s="11">
        <v>4</v>
      </c>
      <c r="C6" s="11">
        <v>2</v>
      </c>
      <c r="D6" s="11">
        <v>2</v>
      </c>
      <c r="E6" s="11">
        <v>1</v>
      </c>
      <c r="F6" s="11">
        <v>9</v>
      </c>
      <c r="I6" s="8">
        <v>33.1</v>
      </c>
    </row>
    <row r="7" spans="1:9" ht="15.6">
      <c r="A7" s="10" t="s">
        <v>29</v>
      </c>
      <c r="B7" s="11">
        <v>9</v>
      </c>
      <c r="C7" s="11">
        <v>3</v>
      </c>
      <c r="D7" s="11">
        <v>8</v>
      </c>
      <c r="E7" s="11">
        <v>3</v>
      </c>
      <c r="F7" s="11">
        <v>23</v>
      </c>
      <c r="I7" s="8">
        <v>24</v>
      </c>
    </row>
    <row r="8" spans="1:9" ht="15.6">
      <c r="I8" s="8">
        <v>29.3</v>
      </c>
    </row>
    <row r="9" spans="1:9" ht="15.6">
      <c r="A9" s="9" t="s">
        <v>31</v>
      </c>
      <c r="B9" s="9" t="s">
        <v>30</v>
      </c>
      <c r="I9" s="8">
        <v>23.1</v>
      </c>
    </row>
    <row r="10" spans="1:9" ht="15.6">
      <c r="A10" s="9" t="s">
        <v>28</v>
      </c>
      <c r="B10" t="s">
        <v>19</v>
      </c>
      <c r="C10" t="s">
        <v>26</v>
      </c>
      <c r="D10" t="s">
        <v>22</v>
      </c>
      <c r="E10" t="s">
        <v>25</v>
      </c>
      <c r="F10" t="s">
        <v>29</v>
      </c>
      <c r="I10" s="8">
        <v>29.1</v>
      </c>
    </row>
    <row r="11" spans="1:9" ht="15.6">
      <c r="A11" s="10" t="s">
        <v>17</v>
      </c>
      <c r="B11" s="12">
        <v>0.21739130434782608</v>
      </c>
      <c r="C11" s="12">
        <v>4.3478260869565216E-2</v>
      </c>
      <c r="D11" s="12">
        <v>0.2608695652173913</v>
      </c>
      <c r="E11" s="12">
        <v>8.6956521739130432E-2</v>
      </c>
      <c r="F11" s="12">
        <v>0.60869565217391308</v>
      </c>
      <c r="I11" s="8">
        <v>10</v>
      </c>
    </row>
    <row r="12" spans="1:9" ht="15.6">
      <c r="A12" s="10" t="s">
        <v>23</v>
      </c>
      <c r="B12" s="12">
        <v>0.17391304347826086</v>
      </c>
      <c r="C12" s="12">
        <v>8.6956521739130432E-2</v>
      </c>
      <c r="D12" s="12">
        <v>8.6956521739130432E-2</v>
      </c>
      <c r="E12" s="12">
        <v>4.3478260869565216E-2</v>
      </c>
      <c r="F12" s="12">
        <v>0.39130434782608697</v>
      </c>
      <c r="I12" s="8">
        <v>13.8</v>
      </c>
    </row>
    <row r="13" spans="1:9" ht="15.6">
      <c r="A13" s="10" t="s">
        <v>29</v>
      </c>
      <c r="B13" s="12">
        <v>0.39130434782608697</v>
      </c>
      <c r="C13" s="12">
        <v>0.13043478260869565</v>
      </c>
      <c r="D13" s="12">
        <v>0.34782608695652173</v>
      </c>
      <c r="E13" s="12">
        <v>0.13043478260869565</v>
      </c>
      <c r="F13" s="12">
        <v>1</v>
      </c>
      <c r="I13" s="8">
        <v>54.8</v>
      </c>
    </row>
    <row r="14" spans="1:9" ht="15.6">
      <c r="I14" s="8">
        <v>22.6</v>
      </c>
    </row>
    <row r="15" spans="1:9" ht="15.6">
      <c r="I15" s="8">
        <v>27.1</v>
      </c>
    </row>
    <row r="16" spans="1:9" ht="15.6">
      <c r="I16" s="8">
        <v>25.4</v>
      </c>
    </row>
    <row r="17" spans="9:9" ht="15.6">
      <c r="I17" s="8">
        <v>15.1</v>
      </c>
    </row>
    <row r="18" spans="9:9" ht="15.6">
      <c r="I18" s="8">
        <v>26.1</v>
      </c>
    </row>
    <row r="19" spans="9:9" ht="15.6">
      <c r="I19" s="8">
        <v>32.1</v>
      </c>
    </row>
    <row r="20" spans="9:9" ht="15.6">
      <c r="I20" s="8">
        <v>44</v>
      </c>
    </row>
    <row r="21" spans="9:9" ht="15.6">
      <c r="I21" s="8">
        <v>32.1</v>
      </c>
    </row>
    <row r="22" spans="9:9" ht="15.6">
      <c r="I22" s="8">
        <v>36</v>
      </c>
    </row>
    <row r="23" spans="9:9" ht="15.6">
      <c r="I23" s="8">
        <v>25</v>
      </c>
    </row>
    <row r="24" spans="9:9" ht="15.6">
      <c r="I24" s="8">
        <v>33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topLeftCell="B11" zoomScale="82" workbookViewId="0">
      <selection activeCell="P12" sqref="P12:P35"/>
    </sheetView>
  </sheetViews>
  <sheetFormatPr defaultRowHeight="14.4"/>
  <cols>
    <col min="1" max="1" width="23.77734375" customWidth="1"/>
    <col min="2" max="2" width="10.77734375" customWidth="1"/>
    <col min="3" max="3" width="15.77734375" customWidth="1"/>
    <col min="4" max="4" width="13.77734375" customWidth="1"/>
    <col min="7" max="7" width="15.77734375" customWidth="1"/>
    <col min="9" max="9" width="22.33203125" customWidth="1"/>
    <col min="10" max="10" width="18.5546875" customWidth="1"/>
    <col min="11" max="11" width="9.88671875" customWidth="1"/>
    <col min="12" max="13" width="8" customWidth="1"/>
    <col min="14" max="14" width="10" customWidth="1"/>
  </cols>
  <sheetData>
    <row r="1" spans="1:16" ht="25.2" thickBot="1">
      <c r="A1" s="1" t="s">
        <v>0</v>
      </c>
      <c r="B1" s="2" t="s">
        <v>1</v>
      </c>
    </row>
    <row r="2" spans="1:16" ht="24.6">
      <c r="A2" s="3" t="s">
        <v>2</v>
      </c>
      <c r="B2" s="5">
        <v>140</v>
      </c>
    </row>
    <row r="3" spans="1:16" ht="49.2">
      <c r="A3" s="4" t="s">
        <v>3</v>
      </c>
      <c r="B3" s="6">
        <v>125</v>
      </c>
    </row>
    <row r="4" spans="1:16" ht="49.2">
      <c r="A4" s="4" t="s">
        <v>4</v>
      </c>
      <c r="B4" s="6">
        <v>65</v>
      </c>
    </row>
    <row r="5" spans="1:16" ht="49.2">
      <c r="A5" s="4" t="s">
        <v>5</v>
      </c>
      <c r="B5" s="6">
        <v>60</v>
      </c>
    </row>
    <row r="6" spans="1:16" ht="24.6">
      <c r="A6" s="4" t="s">
        <v>6</v>
      </c>
      <c r="B6" s="6">
        <v>45</v>
      </c>
    </row>
    <row r="7" spans="1:16" ht="24.6">
      <c r="A7" s="4" t="s">
        <v>7</v>
      </c>
      <c r="B7" s="6">
        <v>30</v>
      </c>
    </row>
    <row r="8" spans="1:16" ht="24.6">
      <c r="A8" s="4" t="s">
        <v>8</v>
      </c>
      <c r="B8" s="6">
        <v>20</v>
      </c>
    </row>
    <row r="9" spans="1:16" ht="24.6">
      <c r="A9" s="4" t="s">
        <v>9</v>
      </c>
      <c r="B9" s="6">
        <v>15</v>
      </c>
    </row>
    <row r="12" spans="1:16" ht="90" customHeight="1">
      <c r="A12" s="7" t="s">
        <v>10</v>
      </c>
      <c r="B12" s="7" t="s">
        <v>11</v>
      </c>
      <c r="C12" s="7" t="s">
        <v>12</v>
      </c>
      <c r="D12" s="7" t="s">
        <v>13</v>
      </c>
      <c r="E12" s="7" t="s">
        <v>14</v>
      </c>
      <c r="F12" s="7" t="s">
        <v>15</v>
      </c>
      <c r="G12" s="7" t="s">
        <v>16</v>
      </c>
      <c r="P12" s="7" t="s">
        <v>15</v>
      </c>
    </row>
    <row r="13" spans="1:16" ht="15.6">
      <c r="A13" s="8">
        <v>1</v>
      </c>
      <c r="B13" s="8" t="s">
        <v>17</v>
      </c>
      <c r="C13" s="8" t="s">
        <v>18</v>
      </c>
      <c r="D13" s="8" t="s">
        <v>19</v>
      </c>
      <c r="E13" s="8">
        <v>55</v>
      </c>
      <c r="F13" s="8">
        <v>16.8</v>
      </c>
      <c r="G13" s="8">
        <v>20</v>
      </c>
      <c r="P13" s="8">
        <v>16.8</v>
      </c>
    </row>
    <row r="14" spans="1:16" ht="15.6">
      <c r="A14" s="8">
        <v>2</v>
      </c>
      <c r="B14" s="8" t="s">
        <v>17</v>
      </c>
      <c r="C14" s="8" t="s">
        <v>20</v>
      </c>
      <c r="D14" s="8" t="s">
        <v>19</v>
      </c>
      <c r="E14" s="8">
        <v>25</v>
      </c>
      <c r="F14" s="8">
        <v>14.6</v>
      </c>
      <c r="G14" s="8">
        <v>42</v>
      </c>
      <c r="P14" s="8">
        <v>14.6</v>
      </c>
    </row>
    <row r="15" spans="1:16" ht="15.6">
      <c r="A15" s="8">
        <v>3</v>
      </c>
      <c r="B15" s="8" t="s">
        <v>17</v>
      </c>
      <c r="C15" s="8" t="s">
        <v>21</v>
      </c>
      <c r="D15" s="8" t="s">
        <v>22</v>
      </c>
      <c r="E15" s="8">
        <v>28</v>
      </c>
      <c r="F15" s="8">
        <v>18.399999999999999</v>
      </c>
      <c r="G15" s="8">
        <v>28</v>
      </c>
      <c r="P15" s="8">
        <v>18.399999999999999</v>
      </c>
    </row>
    <row r="16" spans="1:16" ht="15.6">
      <c r="A16" s="8">
        <v>4</v>
      </c>
      <c r="B16" s="8" t="s">
        <v>23</v>
      </c>
      <c r="C16" s="8" t="s">
        <v>24</v>
      </c>
      <c r="D16" s="8" t="s">
        <v>25</v>
      </c>
      <c r="E16" s="8">
        <v>47</v>
      </c>
      <c r="F16" s="8">
        <v>21.2</v>
      </c>
      <c r="G16" s="8">
        <v>38</v>
      </c>
      <c r="P16" s="8">
        <v>21.2</v>
      </c>
    </row>
    <row r="17" spans="1:16" ht="15.6">
      <c r="A17" s="8">
        <v>5</v>
      </c>
      <c r="B17" s="8" t="s">
        <v>23</v>
      </c>
      <c r="C17" s="8" t="s">
        <v>20</v>
      </c>
      <c r="D17" s="8" t="s">
        <v>19</v>
      </c>
      <c r="E17" s="8">
        <v>35</v>
      </c>
      <c r="F17" s="8">
        <v>33.1</v>
      </c>
      <c r="G17" s="8">
        <v>57</v>
      </c>
      <c r="P17" s="8">
        <v>33.1</v>
      </c>
    </row>
    <row r="18" spans="1:16" ht="15.6">
      <c r="A18" s="8">
        <v>6</v>
      </c>
      <c r="B18" s="8" t="s">
        <v>17</v>
      </c>
      <c r="C18" s="8" t="s">
        <v>18</v>
      </c>
      <c r="D18" s="8" t="s">
        <v>25</v>
      </c>
      <c r="E18" s="8">
        <v>27</v>
      </c>
      <c r="F18" s="8">
        <v>24</v>
      </c>
      <c r="G18" s="8">
        <v>16</v>
      </c>
      <c r="P18" s="8">
        <v>24</v>
      </c>
    </row>
    <row r="19" spans="1:16" ht="15.6">
      <c r="A19" s="8">
        <v>7</v>
      </c>
      <c r="B19" s="8" t="s">
        <v>17</v>
      </c>
      <c r="C19" s="8" t="s">
        <v>18</v>
      </c>
      <c r="D19" s="8" t="s">
        <v>19</v>
      </c>
      <c r="E19" s="8">
        <v>43</v>
      </c>
      <c r="F19" s="8">
        <v>29.3</v>
      </c>
      <c r="G19" s="8">
        <v>82</v>
      </c>
      <c r="P19" s="8">
        <v>29.3</v>
      </c>
    </row>
    <row r="20" spans="1:16" ht="15.6">
      <c r="A20" s="8">
        <v>8</v>
      </c>
      <c r="B20" s="8" t="s">
        <v>23</v>
      </c>
      <c r="C20" s="8" t="s">
        <v>18</v>
      </c>
      <c r="D20" s="8" t="s">
        <v>22</v>
      </c>
      <c r="E20" s="8">
        <v>73</v>
      </c>
      <c r="F20" s="8">
        <v>23.1</v>
      </c>
      <c r="G20" s="8">
        <v>68</v>
      </c>
      <c r="P20" s="8">
        <v>23.1</v>
      </c>
    </row>
    <row r="21" spans="1:16" ht="15.6">
      <c r="A21" s="8">
        <v>9</v>
      </c>
      <c r="B21" s="8" t="s">
        <v>23</v>
      </c>
      <c r="C21" s="8" t="s">
        <v>20</v>
      </c>
      <c r="D21" s="8" t="s">
        <v>22</v>
      </c>
      <c r="E21" s="8">
        <v>50</v>
      </c>
      <c r="F21" s="8">
        <v>29.1</v>
      </c>
      <c r="G21" s="8">
        <v>74</v>
      </c>
      <c r="I21" s="9" t="s">
        <v>31</v>
      </c>
      <c r="J21" s="9" t="s">
        <v>30</v>
      </c>
      <c r="P21" s="8">
        <v>29.1</v>
      </c>
    </row>
    <row r="22" spans="1:16" ht="15.6">
      <c r="A22" s="8">
        <v>10</v>
      </c>
      <c r="B22" s="8" t="s">
        <v>17</v>
      </c>
      <c r="C22" s="8" t="s">
        <v>20</v>
      </c>
      <c r="D22" s="8" t="s">
        <v>22</v>
      </c>
      <c r="E22" s="8">
        <v>22</v>
      </c>
      <c r="F22" s="8">
        <v>10</v>
      </c>
      <c r="G22" s="8">
        <v>6</v>
      </c>
      <c r="I22" s="9" t="s">
        <v>28</v>
      </c>
      <c r="J22" t="s">
        <v>19</v>
      </c>
      <c r="K22" t="s">
        <v>26</v>
      </c>
      <c r="L22" t="s">
        <v>22</v>
      </c>
      <c r="M22" t="s">
        <v>25</v>
      </c>
      <c r="N22" t="s">
        <v>29</v>
      </c>
      <c r="P22" s="8">
        <v>10</v>
      </c>
    </row>
    <row r="23" spans="1:16" ht="15.6">
      <c r="A23" s="8">
        <v>11</v>
      </c>
      <c r="B23" s="8" t="s">
        <v>17</v>
      </c>
      <c r="C23" s="8" t="s">
        <v>21</v>
      </c>
      <c r="D23" s="8" t="s">
        <v>19</v>
      </c>
      <c r="E23" s="8">
        <v>25</v>
      </c>
      <c r="F23" s="8">
        <v>13.8</v>
      </c>
      <c r="G23" s="8">
        <v>42</v>
      </c>
      <c r="I23" s="10" t="s">
        <v>17</v>
      </c>
      <c r="J23" s="14">
        <v>0.55555555555555558</v>
      </c>
      <c r="K23" s="14">
        <v>0.33333333333333331</v>
      </c>
      <c r="L23" s="14">
        <v>0.75</v>
      </c>
      <c r="M23" s="14">
        <v>0.66666666666666663</v>
      </c>
      <c r="N23" s="14">
        <v>0.60869565217391308</v>
      </c>
      <c r="P23" s="8">
        <v>13.8</v>
      </c>
    </row>
    <row r="24" spans="1:16" ht="15.6">
      <c r="A24" s="8">
        <v>12</v>
      </c>
      <c r="B24" s="8" t="s">
        <v>23</v>
      </c>
      <c r="C24" s="8" t="s">
        <v>20</v>
      </c>
      <c r="D24" s="8" t="s">
        <v>19</v>
      </c>
      <c r="E24" s="8">
        <v>55</v>
      </c>
      <c r="F24" s="8">
        <v>54.8</v>
      </c>
      <c r="G24" s="8">
        <v>124</v>
      </c>
      <c r="I24" s="10" t="s">
        <v>23</v>
      </c>
      <c r="J24" s="14">
        <v>0.44444444444444442</v>
      </c>
      <c r="K24" s="14">
        <v>0.66666666666666663</v>
      </c>
      <c r="L24" s="14">
        <v>0.25</v>
      </c>
      <c r="M24" s="14">
        <v>0.33333333333333331</v>
      </c>
      <c r="N24" s="14">
        <v>0.39130434782608697</v>
      </c>
      <c r="P24" s="8">
        <v>54.8</v>
      </c>
    </row>
    <row r="25" spans="1:16" ht="15.6">
      <c r="A25" s="8">
        <v>13</v>
      </c>
      <c r="B25" s="8" t="s">
        <v>17</v>
      </c>
      <c r="C25" s="8" t="s">
        <v>18</v>
      </c>
      <c r="D25" s="8" t="s">
        <v>25</v>
      </c>
      <c r="E25" s="8">
        <v>35</v>
      </c>
      <c r="F25" s="8">
        <v>22.6</v>
      </c>
      <c r="G25" s="8">
        <v>48</v>
      </c>
      <c r="I25" s="10" t="s">
        <v>29</v>
      </c>
      <c r="J25" s="14">
        <v>1</v>
      </c>
      <c r="K25" s="14">
        <v>1</v>
      </c>
      <c r="L25" s="14">
        <v>1</v>
      </c>
      <c r="M25" s="14">
        <v>1</v>
      </c>
      <c r="N25" s="14">
        <v>1</v>
      </c>
      <c r="P25" s="8">
        <v>22.6</v>
      </c>
    </row>
    <row r="26" spans="1:16" ht="15.6">
      <c r="A26" s="8">
        <v>14</v>
      </c>
      <c r="B26" s="8" t="s">
        <v>23</v>
      </c>
      <c r="C26" s="8" t="s">
        <v>24</v>
      </c>
      <c r="D26" s="8" t="s">
        <v>26</v>
      </c>
      <c r="E26" s="8">
        <v>75</v>
      </c>
      <c r="F26" s="8">
        <v>27.1</v>
      </c>
      <c r="G26" s="8">
        <v>73</v>
      </c>
      <c r="P26" s="8">
        <v>27.1</v>
      </c>
    </row>
    <row r="27" spans="1:16" ht="15.6">
      <c r="A27" s="8">
        <v>15</v>
      </c>
      <c r="B27" s="8" t="s">
        <v>17</v>
      </c>
      <c r="C27" s="8" t="s">
        <v>24</v>
      </c>
      <c r="D27" s="8" t="s">
        <v>26</v>
      </c>
      <c r="E27" s="8">
        <v>38</v>
      </c>
      <c r="F27" s="8">
        <v>25.4</v>
      </c>
      <c r="G27" s="8">
        <v>64</v>
      </c>
      <c r="P27" s="8">
        <v>25.4</v>
      </c>
    </row>
    <row r="28" spans="1:16" ht="15.6">
      <c r="A28" s="8">
        <v>16</v>
      </c>
      <c r="B28" s="8" t="s">
        <v>17</v>
      </c>
      <c r="C28" s="8" t="s">
        <v>18</v>
      </c>
      <c r="D28" s="8" t="s">
        <v>22</v>
      </c>
      <c r="E28" s="8">
        <v>53</v>
      </c>
      <c r="F28" s="8">
        <v>15.1</v>
      </c>
      <c r="G28" s="8">
        <v>53</v>
      </c>
      <c r="P28" s="8">
        <v>15.1</v>
      </c>
    </row>
    <row r="29" spans="1:16" ht="15.6">
      <c r="A29" s="8">
        <v>17</v>
      </c>
      <c r="B29" s="8" t="s">
        <v>23</v>
      </c>
      <c r="C29" s="8" t="s">
        <v>18</v>
      </c>
      <c r="D29" s="8" t="s">
        <v>26</v>
      </c>
      <c r="E29" s="8">
        <v>37</v>
      </c>
      <c r="F29" s="8">
        <v>26.1</v>
      </c>
      <c r="G29" s="8">
        <v>62</v>
      </c>
      <c r="I29" s="9" t="s">
        <v>31</v>
      </c>
      <c r="J29" s="9" t="s">
        <v>30</v>
      </c>
      <c r="P29" s="8">
        <v>26.1</v>
      </c>
    </row>
    <row r="30" spans="1:16" ht="15.6">
      <c r="A30" s="8">
        <v>18</v>
      </c>
      <c r="B30" s="8" t="s">
        <v>17</v>
      </c>
      <c r="C30" s="8" t="s">
        <v>20</v>
      </c>
      <c r="D30" s="8" t="s">
        <v>22</v>
      </c>
      <c r="E30" s="8">
        <v>28</v>
      </c>
      <c r="F30" s="8">
        <v>32.1</v>
      </c>
      <c r="G30" s="8">
        <v>63</v>
      </c>
      <c r="I30" s="9" t="s">
        <v>28</v>
      </c>
      <c r="J30" t="s">
        <v>19</v>
      </c>
      <c r="K30" t="s">
        <v>26</v>
      </c>
      <c r="L30" t="s">
        <v>22</v>
      </c>
      <c r="M30" t="s">
        <v>25</v>
      </c>
      <c r="N30" t="s">
        <v>29</v>
      </c>
      <c r="P30" s="8">
        <v>32.1</v>
      </c>
    </row>
    <row r="31" spans="1:16" ht="15.6">
      <c r="A31" s="8">
        <v>19</v>
      </c>
      <c r="B31" s="8" t="s">
        <v>23</v>
      </c>
      <c r="C31" s="8" t="s">
        <v>18</v>
      </c>
      <c r="D31" s="8" t="s">
        <v>19</v>
      </c>
      <c r="E31" s="8">
        <v>43</v>
      </c>
      <c r="F31" s="8">
        <v>44</v>
      </c>
      <c r="G31" s="8">
        <v>30</v>
      </c>
      <c r="I31" s="10" t="s">
        <v>17</v>
      </c>
      <c r="J31" s="13">
        <v>0.21739130434782608</v>
      </c>
      <c r="K31" s="13">
        <v>4.3478260869565216E-2</v>
      </c>
      <c r="L31" s="13">
        <v>0.2608695652173913</v>
      </c>
      <c r="M31" s="13">
        <v>8.6956521739130432E-2</v>
      </c>
      <c r="N31" s="13">
        <v>0.60869565217391308</v>
      </c>
      <c r="P31" s="8">
        <v>44</v>
      </c>
    </row>
    <row r="32" spans="1:16" ht="15.6">
      <c r="A32" s="8">
        <v>20</v>
      </c>
      <c r="B32" s="8" t="s">
        <v>17</v>
      </c>
      <c r="C32" s="8" t="s">
        <v>27</v>
      </c>
      <c r="D32" s="8" t="s">
        <v>22</v>
      </c>
      <c r="E32" s="8">
        <v>25</v>
      </c>
      <c r="F32" s="8">
        <v>32.1</v>
      </c>
      <c r="G32" s="8">
        <v>40</v>
      </c>
      <c r="I32" s="10" t="s">
        <v>23</v>
      </c>
      <c r="J32" s="13">
        <v>0.17391304347826086</v>
      </c>
      <c r="K32" s="13">
        <v>8.6956521739130432E-2</v>
      </c>
      <c r="L32" s="13">
        <v>8.6956521739130432E-2</v>
      </c>
      <c r="M32" s="13">
        <v>4.3478260869565216E-2</v>
      </c>
      <c r="N32" s="13">
        <v>0.39130434782608697</v>
      </c>
      <c r="P32" s="8">
        <v>32.1</v>
      </c>
    </row>
    <row r="33" spans="1:16" ht="15.6">
      <c r="A33" s="8">
        <v>21</v>
      </c>
      <c r="B33" s="8" t="s">
        <v>17</v>
      </c>
      <c r="C33" s="8" t="s">
        <v>20</v>
      </c>
      <c r="D33" s="8" t="s">
        <v>19</v>
      </c>
      <c r="E33" s="8">
        <v>43</v>
      </c>
      <c r="F33" s="8">
        <v>36</v>
      </c>
      <c r="G33" s="8">
        <v>15</v>
      </c>
      <c r="I33" s="10" t="s">
        <v>29</v>
      </c>
      <c r="J33" s="13">
        <v>0.39130434782608697</v>
      </c>
      <c r="K33" s="13">
        <v>0.13043478260869565</v>
      </c>
      <c r="L33" s="13">
        <v>0.34782608695652173</v>
      </c>
      <c r="M33" s="13">
        <v>0.13043478260869565</v>
      </c>
      <c r="N33" s="13">
        <v>1</v>
      </c>
      <c r="P33" s="8">
        <v>36</v>
      </c>
    </row>
    <row r="34" spans="1:16" ht="15.6">
      <c r="A34" s="8">
        <v>22</v>
      </c>
      <c r="B34" s="8" t="s">
        <v>23</v>
      </c>
      <c r="C34" s="8" t="s">
        <v>24</v>
      </c>
      <c r="D34" s="8" t="s">
        <v>19</v>
      </c>
      <c r="E34" s="8">
        <v>43</v>
      </c>
      <c r="F34" s="8">
        <v>25</v>
      </c>
      <c r="G34" s="8">
        <v>25</v>
      </c>
      <c r="P34" s="8">
        <v>25</v>
      </c>
    </row>
    <row r="35" spans="1:16" ht="15.6">
      <c r="A35" s="8">
        <v>23</v>
      </c>
      <c r="B35" s="8" t="s">
        <v>17</v>
      </c>
      <c r="C35" s="8" t="s">
        <v>24</v>
      </c>
      <c r="D35" s="8" t="s">
        <v>22</v>
      </c>
      <c r="E35" s="8">
        <v>31</v>
      </c>
      <c r="F35" s="8">
        <v>33</v>
      </c>
      <c r="G35" s="8">
        <v>63</v>
      </c>
      <c r="P35" s="8">
        <v>33</v>
      </c>
    </row>
  </sheetData>
  <pageMargins left="0.511811024" right="0.511811024" top="0.78740157499999996" bottom="0.78740157499999996" header="0.31496062000000002" footer="0.3149606200000000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Plan2</vt:lpstr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2026-09-23T15:03:02Z</dcterms:created>
  <dcterms:modified xsi:type="dcterms:W3CDTF">2026-09-23T15:46:24Z</dcterms:modified>
</cp:coreProperties>
</file>